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8_{9492FFA2-ED14-4CF7-999F-0DF600B81C81}"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1" l="1"/>
  <c r="E10" i="11"/>
  <c r="F9" i="11"/>
  <c r="E9" i="11"/>
  <c r="C1" i="11"/>
  <c r="E3" i="11"/>
  <c r="H7" i="11"/>
  <c r="H22" i="11" l="1"/>
  <c r="I5" i="11"/>
  <c r="H33" i="11"/>
  <c r="H32" i="11"/>
  <c r="H31" i="11"/>
  <c r="H30" i="11"/>
  <c r="H29" i="11"/>
  <c r="H28" i="11"/>
  <c r="H26" i="11"/>
  <c r="H21" i="11"/>
  <c r="H20" i="11"/>
  <c r="H14" i="11"/>
  <c r="H8" i="11"/>
  <c r="H9" i="11" l="1"/>
  <c r="I6" i="11"/>
  <c r="H27" i="11" l="1"/>
  <c r="H25" i="11"/>
  <c r="H10" i="11"/>
  <c r="H23" i="11"/>
  <c r="H15" i="11"/>
  <c r="H13" i="11"/>
  <c r="J5" i="11"/>
  <c r="K5" i="11" s="1"/>
  <c r="L5" i="11" s="1"/>
  <c r="M5" i="11" s="1"/>
  <c r="N5" i="11" s="1"/>
  <c r="O5" i="11" s="1"/>
  <c r="P5" i="11" s="1"/>
  <c r="I4" i="11"/>
  <c r="H24" i="11" l="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<sst xmlns="http://schemas.openxmlformats.org/spreadsheetml/2006/main" count="62" uniqueCount="52">
  <si>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</si>
  <si>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</si>
  <si>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</si>
  <si>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</si>
  <si>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</si>
  <si>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</si>
  <si>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</si>
  <si>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</si>
  <si>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</si>
  <si>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</si>
  <si>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</si>
  <si>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</si>
  <si>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</si>
  <si>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</si>
  <si>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</si>
  <si>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Task 1</t>
  </si>
  <si>
    <t>Task 2</t>
  </si>
  <si>
    <t>Task 3</t>
  </si>
  <si>
    <t>Task 4</t>
  </si>
  <si>
    <t>Task 5</t>
  </si>
  <si>
    <t>Insert new rows ABOVE this one</t>
  </si>
  <si>
    <t>Project Start:</t>
  </si>
  <si>
    <t>Display Week:</t>
  </si>
  <si>
    <t>ASSIGNED
TO</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</si>
  <si>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</si>
  <si>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</si>
  <si>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</si>
  <si>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</si>
  <si>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</si>
  <si>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</si>
  <si>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</si>
  <si>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</si>
  <si>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</si>
  <si>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</si>
  <si>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</si>
  <si>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</si>
  <si>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</si>
  <si>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</si>
  <si>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</si>
  <si>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</si>
  <si>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</si>
  <si>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</si>
  <si>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</si>
  <si>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Projet J3D</t>
  </si>
  <si>
    <t>Epita</t>
  </si>
  <si>
    <t>Soutenance 1</t>
  </si>
  <si>
    <t>Soutenance 2</t>
  </si>
  <si>
    <t>Soutenance finale</t>
  </si>
  <si>
    <t>Implémentation Animations</t>
  </si>
  <si>
    <t>Clément/Erwan</t>
  </si>
  <si>
    <t>Modifications des touches</t>
  </si>
  <si>
    <t>Titouan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</si>
</sst>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5">
    <xf numFmtId="0" fontId="0" fillId="0" borderId="0" xfId="0"/>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xf numFmtId="0" fontId="9" fillId="3" borderId="2" xfId="12" applyFill="1" applyAlignment="1">
      <alignment horizontal="left" vertical="center" wrapText="1" indent="2"/>
    </xf>
    <xf numFmtId="14" fontId="1" fillId="0" borderId="0" xfId="0" applyNumberFormat="1" applyFont="1" applyAlignment="1">
      <alignment horizontal="left"/>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 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D28" sqref="D28"/>
    </sheetView>
  </sheetViews>
  <sheetFormatPr defaultRowHeight="30" customHeight="1" x14ac:dyDescent="0.3"/>
  <cols>
    <col min="1" max="1" width="2.6640625" style="44" customWidth="1"/>
    <col min="2" max="2" width="19.88671875" customWidth="1"/>
    <col min="3" max="3" width="30.6640625" customWidth="1"/>
    <col min="4" max="4" width="10.6640625" customWidth="1"/>
    <col min="5" max="5" width="10.44140625" style="4"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45" t="s">
        <v>0</v>
      </c>
      <c r="B1" s="48" t="s">
        <v>43</v>
      </c>
      <c r="C1" s="94">
        <f ca="1">TODAY()</f>
        <v>45985</v>
      </c>
      <c r="D1" s="1"/>
      <c r="E1" s="3"/>
      <c r="F1" s="33"/>
      <c r="H1" s="1"/>
      <c r="I1" s="66" t="s">
        <v>28</v>
      </c>
    </row>
    <row r="2" spans="1:64" ht="30" customHeight="1" x14ac:dyDescent="0.35">
      <c r="A2" s="44" t="s">
        <v>1</v>
      </c>
      <c r="B2" s="49" t="s">
        <v>44</v>
      </c>
      <c r="I2" s="67" t="s">
        <v>29</v>
      </c>
    </row>
    <row r="3" spans="1:64" ht="30" customHeight="1" x14ac:dyDescent="0.3">
      <c r="A3" s="44" t="s">
        <v>2</v>
      </c>
      <c r="B3" s="50"/>
      <c r="C3" s="91" t="s">
        <v>21</v>
      </c>
      <c r="D3" s="92"/>
      <c r="E3" s="90">
        <f>DATE(2025,11,1)</f>
        <v>45962</v>
      </c>
      <c r="F3" s="90"/>
    </row>
    <row r="4" spans="1:64" ht="30" customHeight="1" x14ac:dyDescent="0.3">
      <c r="A4" s="45" t="s">
        <v>3</v>
      </c>
      <c r="C4" s="91" t="s">
        <v>22</v>
      </c>
      <c r="D4" s="92"/>
      <c r="E4" s="6">
        <v>1</v>
      </c>
      <c r="I4" s="87">
        <f>I5</f>
        <v>45957</v>
      </c>
      <c r="J4" s="88"/>
      <c r="K4" s="88"/>
      <c r="L4" s="88"/>
      <c r="M4" s="88"/>
      <c r="N4" s="88"/>
      <c r="O4" s="89"/>
      <c r="P4" s="87">
        <f>P5</f>
        <v>45964</v>
      </c>
      <c r="Q4" s="88"/>
      <c r="R4" s="88"/>
      <c r="S4" s="88"/>
      <c r="T4" s="88"/>
      <c r="U4" s="88"/>
      <c r="V4" s="89"/>
      <c r="W4" s="87">
        <f>W5</f>
        <v>45971</v>
      </c>
      <c r="X4" s="88"/>
      <c r="Y4" s="88"/>
      <c r="Z4" s="88"/>
      <c r="AA4" s="88"/>
      <c r="AB4" s="88"/>
      <c r="AC4" s="89"/>
      <c r="AD4" s="87">
        <f>AD5</f>
        <v>45978</v>
      </c>
      <c r="AE4" s="88"/>
      <c r="AF4" s="88"/>
      <c r="AG4" s="88"/>
      <c r="AH4" s="88"/>
      <c r="AI4" s="88"/>
      <c r="AJ4" s="89"/>
      <c r="AK4" s="87">
        <f>AK5</f>
        <v>45985</v>
      </c>
      <c r="AL4" s="88"/>
      <c r="AM4" s="88"/>
      <c r="AN4" s="88"/>
      <c r="AO4" s="88"/>
      <c r="AP4" s="88"/>
      <c r="AQ4" s="89"/>
      <c r="AR4" s="87">
        <f>AR5</f>
        <v>45992</v>
      </c>
      <c r="AS4" s="88"/>
      <c r="AT4" s="88"/>
      <c r="AU4" s="88"/>
      <c r="AV4" s="88"/>
      <c r="AW4" s="88"/>
      <c r="AX4" s="89"/>
      <c r="AY4" s="87">
        <f>AY5</f>
        <v>45999</v>
      </c>
      <c r="AZ4" s="88"/>
      <c r="BA4" s="88"/>
      <c r="BB4" s="88"/>
      <c r="BC4" s="88"/>
      <c r="BD4" s="88"/>
      <c r="BE4" s="89"/>
      <c r="BF4" s="87">
        <f>BF5</f>
        <v>46006</v>
      </c>
      <c r="BG4" s="88"/>
      <c r="BH4" s="88"/>
      <c r="BI4" s="88"/>
      <c r="BJ4" s="88"/>
      <c r="BK4" s="88"/>
      <c r="BL4" s="89"/>
    </row>
    <row r="5" spans="1:64" ht="15" customHeight="1" x14ac:dyDescent="0.3">
      <c r="A5" s="45" t="s">
        <v>4</v>
      </c>
      <c r="B5" s="65"/>
      <c r="C5" s="65"/>
      <c r="D5" s="65"/>
      <c r="E5" s="65"/>
      <c r="F5" s="65"/>
      <c r="G5" s="65"/>
      <c r="I5" s="84">
        <f>Project_Start-WEEKDAY(Project_Start,1)+2+7*(Display_Week-1)</f>
        <v>45957</v>
      </c>
      <c r="J5" s="85">
        <f>I5+1</f>
        <v>45958</v>
      </c>
      <c r="K5" s="85">
        <f t="shared" ref="K5:AX5" si="0">J5+1</f>
        <v>45959</v>
      </c>
      <c r="L5" s="85">
        <f t="shared" si="0"/>
        <v>45960</v>
      </c>
      <c r="M5" s="85">
        <f t="shared" si="0"/>
        <v>45961</v>
      </c>
      <c r="N5" s="85">
        <f t="shared" si="0"/>
        <v>45962</v>
      </c>
      <c r="O5" s="86">
        <f t="shared" si="0"/>
        <v>45963</v>
      </c>
      <c r="P5" s="84">
        <f>O5+1</f>
        <v>45964</v>
      </c>
      <c r="Q5" s="85">
        <f>P5+1</f>
        <v>45965</v>
      </c>
      <c r="R5" s="85">
        <f t="shared" si="0"/>
        <v>45966</v>
      </c>
      <c r="S5" s="85">
        <f t="shared" si="0"/>
        <v>45967</v>
      </c>
      <c r="T5" s="85">
        <f t="shared" si="0"/>
        <v>45968</v>
      </c>
      <c r="U5" s="85">
        <f t="shared" si="0"/>
        <v>45969</v>
      </c>
      <c r="V5" s="86">
        <f t="shared" si="0"/>
        <v>45970</v>
      </c>
      <c r="W5" s="84">
        <f>V5+1</f>
        <v>45971</v>
      </c>
      <c r="X5" s="85">
        <f>W5+1</f>
        <v>45972</v>
      </c>
      <c r="Y5" s="85">
        <f t="shared" si="0"/>
        <v>45973</v>
      </c>
      <c r="Z5" s="85">
        <f t="shared" si="0"/>
        <v>45974</v>
      </c>
      <c r="AA5" s="85">
        <f t="shared" si="0"/>
        <v>45975</v>
      </c>
      <c r="AB5" s="85">
        <f t="shared" si="0"/>
        <v>45976</v>
      </c>
      <c r="AC5" s="86">
        <f t="shared" si="0"/>
        <v>45977</v>
      </c>
      <c r="AD5" s="84">
        <f>AC5+1</f>
        <v>45978</v>
      </c>
      <c r="AE5" s="85">
        <f>AD5+1</f>
        <v>45979</v>
      </c>
      <c r="AF5" s="85">
        <f t="shared" si="0"/>
        <v>45980</v>
      </c>
      <c r="AG5" s="85">
        <f t="shared" si="0"/>
        <v>45981</v>
      </c>
      <c r="AH5" s="85">
        <f t="shared" si="0"/>
        <v>45982</v>
      </c>
      <c r="AI5" s="85">
        <f t="shared" si="0"/>
        <v>45983</v>
      </c>
      <c r="AJ5" s="86">
        <f t="shared" si="0"/>
        <v>45984</v>
      </c>
      <c r="AK5" s="84">
        <f>AJ5+1</f>
        <v>45985</v>
      </c>
      <c r="AL5" s="85">
        <f>AK5+1</f>
        <v>45986</v>
      </c>
      <c r="AM5" s="85">
        <f t="shared" si="0"/>
        <v>45987</v>
      </c>
      <c r="AN5" s="85">
        <f t="shared" si="0"/>
        <v>45988</v>
      </c>
      <c r="AO5" s="85">
        <f t="shared" si="0"/>
        <v>45989</v>
      </c>
      <c r="AP5" s="85">
        <f t="shared" si="0"/>
        <v>45990</v>
      </c>
      <c r="AQ5" s="86">
        <f t="shared" si="0"/>
        <v>45991</v>
      </c>
      <c r="AR5" s="84">
        <f>AQ5+1</f>
        <v>45992</v>
      </c>
      <c r="AS5" s="85">
        <f>AR5+1</f>
        <v>45993</v>
      </c>
      <c r="AT5" s="85">
        <f t="shared" si="0"/>
        <v>45994</v>
      </c>
      <c r="AU5" s="85">
        <f t="shared" si="0"/>
        <v>45995</v>
      </c>
      <c r="AV5" s="85">
        <f t="shared" si="0"/>
        <v>45996</v>
      </c>
      <c r="AW5" s="85">
        <f t="shared" si="0"/>
        <v>45997</v>
      </c>
      <c r="AX5" s="86">
        <f t="shared" si="0"/>
        <v>45998</v>
      </c>
      <c r="AY5" s="84">
        <f>AX5+1</f>
        <v>45999</v>
      </c>
      <c r="AZ5" s="85">
        <f>AY5+1</f>
        <v>46000</v>
      </c>
      <c r="BA5" s="85">
        <f t="shared" ref="BA5:BE5" si="1">AZ5+1</f>
        <v>46001</v>
      </c>
      <c r="BB5" s="85">
        <f t="shared" si="1"/>
        <v>46002</v>
      </c>
      <c r="BC5" s="85">
        <f t="shared" si="1"/>
        <v>46003</v>
      </c>
      <c r="BD5" s="85">
        <f t="shared" si="1"/>
        <v>46004</v>
      </c>
      <c r="BE5" s="86">
        <f t="shared" si="1"/>
        <v>46005</v>
      </c>
      <c r="BF5" s="84">
        <f>BE5+1</f>
        <v>46006</v>
      </c>
      <c r="BG5" s="85">
        <f>BF5+1</f>
        <v>46007</v>
      </c>
      <c r="BH5" s="85">
        <f t="shared" ref="BH5:BL5" si="2">BG5+1</f>
        <v>46008</v>
      </c>
      <c r="BI5" s="85">
        <f t="shared" si="2"/>
        <v>46009</v>
      </c>
      <c r="BJ5" s="85">
        <f t="shared" si="2"/>
        <v>46010</v>
      </c>
      <c r="BK5" s="85">
        <f t="shared" si="2"/>
        <v>46011</v>
      </c>
      <c r="BL5" s="86">
        <f t="shared" si="2"/>
        <v>46012</v>
      </c>
    </row>
    <row r="6" spans="1:64" ht="30" customHeight="1" thickBot="1" x14ac:dyDescent="0.35">
      <c r="A6" s="45" t="s">
        <v>5</v>
      </c>
      <c r="B6" s="7" t="s">
        <v>14</v>
      </c>
      <c r="C6" s="8" t="s">
        <v>23</v>
      </c>
      <c r="D6" s="8" t="s">
        <v>24</v>
      </c>
      <c r="E6" s="8" t="s">
        <v>25</v>
      </c>
      <c r="F6" s="8" t="s">
        <v>26</v>
      </c>
      <c r="G6" s="8"/>
      <c r="H6" s="8" t="s">
        <v>27</v>
      </c>
      <c r="I6" s="9" t="str">
        <f t="shared" ref="I6" si="3">LEFT(TEXT(I5,"ddd"),1)</f>
        <v>M</v>
      </c>
      <c r="J6" s="9" t="str">
        <f t="shared" ref="J6:AR6" si="4">LEFT(TEXT(J5,"ddd"),1)</f>
        <v>T</v>
      </c>
      <c r="K6" s="9" t="str">
        <f t="shared" si="4"/>
        <v>W</v>
      </c>
      <c r="L6" s="9" t="str">
        <f t="shared" si="4"/>
        <v>T</v>
      </c>
      <c r="M6" s="9" t="str">
        <f t="shared" si="4"/>
        <v>F</v>
      </c>
      <c r="N6" s="9" t="str">
        <f t="shared" si="4"/>
        <v>S</v>
      </c>
      <c r="O6" s="9" t="str">
        <f t="shared" si="4"/>
        <v>S</v>
      </c>
      <c r="P6" s="9" t="str">
        <f t="shared" si="4"/>
        <v>M</v>
      </c>
      <c r="Q6" s="9" t="str">
        <f t="shared" si="4"/>
        <v>T</v>
      </c>
      <c r="R6" s="9" t="str">
        <f t="shared" si="4"/>
        <v>W</v>
      </c>
      <c r="S6" s="9" t="str">
        <f t="shared" si="4"/>
        <v>T</v>
      </c>
      <c r="T6" s="9" t="str">
        <f t="shared" si="4"/>
        <v>F</v>
      </c>
      <c r="U6" s="9" t="str">
        <f t="shared" si="4"/>
        <v>S</v>
      </c>
      <c r="V6" s="9" t="str">
        <f t="shared" si="4"/>
        <v>S</v>
      </c>
      <c r="W6" s="9" t="str">
        <f t="shared" si="4"/>
        <v>M</v>
      </c>
      <c r="X6" s="9" t="str">
        <f t="shared" si="4"/>
        <v>T</v>
      </c>
      <c r="Y6" s="9" t="str">
        <f t="shared" si="4"/>
        <v>W</v>
      </c>
      <c r="Z6" s="9" t="str">
        <f t="shared" si="4"/>
        <v>T</v>
      </c>
      <c r="AA6" s="9" t="str">
        <f t="shared" si="4"/>
        <v>F</v>
      </c>
      <c r="AB6" s="9" t="str">
        <f t="shared" si="4"/>
        <v>S</v>
      </c>
      <c r="AC6" s="9" t="str">
        <f t="shared" si="4"/>
        <v>S</v>
      </c>
      <c r="AD6" s="9" t="str">
        <f t="shared" si="4"/>
        <v>M</v>
      </c>
      <c r="AE6" s="9" t="str">
        <f t="shared" si="4"/>
        <v>T</v>
      </c>
      <c r="AF6" s="9" t="str">
        <f t="shared" si="4"/>
        <v>W</v>
      </c>
      <c r="AG6" s="9" t="str">
        <f t="shared" si="4"/>
        <v>T</v>
      </c>
      <c r="AH6" s="9" t="str">
        <f t="shared" si="4"/>
        <v>F</v>
      </c>
      <c r="AI6" s="9" t="str">
        <f t="shared" si="4"/>
        <v>S</v>
      </c>
      <c r="AJ6" s="9" t="str">
        <f t="shared" si="4"/>
        <v>S</v>
      </c>
      <c r="AK6" s="9" t="str">
        <f t="shared" si="4"/>
        <v>M</v>
      </c>
      <c r="AL6" s="9" t="str">
        <f t="shared" si="4"/>
        <v>T</v>
      </c>
      <c r="AM6" s="9" t="str">
        <f t="shared" si="4"/>
        <v>W</v>
      </c>
      <c r="AN6" s="9" t="str">
        <f t="shared" si="4"/>
        <v>T</v>
      </c>
      <c r="AO6" s="9" t="str">
        <f t="shared" si="4"/>
        <v>F</v>
      </c>
      <c r="AP6" s="9" t="str">
        <f t="shared" si="4"/>
        <v>S</v>
      </c>
      <c r="AQ6" s="9" t="str">
        <f t="shared" si="4"/>
        <v>S</v>
      </c>
      <c r="AR6" s="9" t="str">
        <f t="shared" si="4"/>
        <v>M</v>
      </c>
      <c r="AS6" s="9" t="str">
        <f t="shared" ref="AS6:BL6" si="5">LEFT(TEXT(AS5,"ddd"),1)</f>
        <v>T</v>
      </c>
      <c r="AT6" s="9" t="str">
        <f t="shared" si="5"/>
        <v>W</v>
      </c>
      <c r="AU6" s="9" t="str">
        <f t="shared" si="5"/>
        <v>T</v>
      </c>
      <c r="AV6" s="9" t="str">
        <f t="shared" si="5"/>
        <v>F</v>
      </c>
      <c r="AW6" s="9" t="str">
        <f t="shared" si="5"/>
        <v>S</v>
      </c>
      <c r="AX6" s="9" t="str">
        <f t="shared" si="5"/>
        <v>S</v>
      </c>
      <c r="AY6" s="9" t="str">
        <f t="shared" si="5"/>
        <v>M</v>
      </c>
      <c r="AZ6" s="9" t="str">
        <f t="shared" si="5"/>
        <v>T</v>
      </c>
      <c r="BA6" s="9" t="str">
        <f t="shared" si="5"/>
        <v>W</v>
      </c>
      <c r="BB6" s="9" t="str">
        <f t="shared" si="5"/>
        <v>T</v>
      </c>
      <c r="BC6" s="9" t="str">
        <f t="shared" si="5"/>
        <v>F</v>
      </c>
      <c r="BD6" s="9" t="str">
        <f t="shared" si="5"/>
        <v>S</v>
      </c>
      <c r="BE6" s="9" t="str">
        <f t="shared" si="5"/>
        <v>S</v>
      </c>
      <c r="BF6" s="9" t="str">
        <f t="shared" si="5"/>
        <v>M</v>
      </c>
      <c r="BG6" s="9" t="str">
        <f t="shared" si="5"/>
        <v>T</v>
      </c>
      <c r="BH6" s="9" t="str">
        <f t="shared" si="5"/>
        <v>W</v>
      </c>
      <c r="BI6" s="9" t="str">
        <f t="shared" si="5"/>
        <v>T</v>
      </c>
      <c r="BJ6" s="9" t="str">
        <f t="shared" si="5"/>
        <v>F</v>
      </c>
      <c r="BK6" s="9" t="str">
        <f t="shared" si="5"/>
        <v>S</v>
      </c>
      <c r="BL6" s="9" t="str">
        <f t="shared" si="5"/>
        <v>S</v>
      </c>
    </row>
    <row r="7" spans="1:64" ht="30" hidden="1" customHeight="1" thickBot="1" x14ac:dyDescent="0.35">
      <c r="A7" s="44" t="s">
        <v>6</v>
      </c>
      <c r="C7" s="47"/>
      <c r="E7"/>
      <c r="H7" t="str">
        <f>IF(OR(ISBLANK(task_start),ISBLANK(task_end)),"",task_end-task_start+1)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2" customFormat="1" ht="30" customHeight="1" thickBot="1" x14ac:dyDescent="0.35">
      <c r="A8" s="45" t="s">
        <v>7</v>
      </c>
      <c r="B8" s="14" t="s">
        <v>45</v>
      </c>
      <c r="C8" s="51"/>
      <c r="D8" s="15"/>
      <c r="E8" s="69"/>
      <c r="F8" s="70"/>
      <c r="G8" s="13"/>
      <c r="H8" s="13" t="str">
        <f t="shared" ref="H8:H33" si="6">IF(OR(ISBLANK(task_start),ISBLANK(task_end)),"",task_end-task_start+1)</f>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s="2" customFormat="1" ht="30" customHeight="1" thickBot="1" x14ac:dyDescent="0.35">
      <c r="A9" s="45" t="s">
        <v>8</v>
      </c>
      <c r="B9" s="93" t="s">
        <v>48</v>
      </c>
      <c r="C9" s="52" t="s">
        <v>49</v>
      </c>
      <c r="D9" s="16">
        <v>0</v>
      </c>
      <c r="E9" s="71">
        <f>DATE(2025,11,24)</f>
        <v>45985</v>
      </c>
      <c r="F9" s="71">
        <f>DATE(2025,11,28)</f>
        <v>45989</v>
      </c>
      <c r="G9" s="13"/>
      <c r="H9" s="13">
        <f t="shared" si="6"/>
        <v>5</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s="2" customFormat="1" ht="30" customHeight="1" thickBot="1" x14ac:dyDescent="0.35">
      <c r="A10" s="45" t="s">
        <v>9</v>
      </c>
      <c r="B10" s="93" t="s">
        <v>50</v>
      </c>
      <c r="C10" s="52" t="s">
        <v>51</v>
      </c>
      <c r="D10" s="16">
        <v>0</v>
      </c>
      <c r="E10" s="71">
        <f>DATE(2025,11,24)</f>
        <v>45985</v>
      </c>
      <c r="F10" s="71">
        <f>DATE(2025,12,3)</f>
        <v>45994</v>
      </c>
      <c r="G10" s="13"/>
      <c r="H10" s="13">
        <f t="shared" si="6"/>
        <v>10</v>
      </c>
      <c r="I10" s="30"/>
      <c r="J10" s="30"/>
      <c r="K10" s="30"/>
      <c r="L10" s="30"/>
      <c r="M10" s="30"/>
      <c r="N10" s="30"/>
      <c r="O10" s="30"/>
      <c r="P10" s="30"/>
      <c r="Q10" s="30"/>
      <c r="R10" s="30"/>
      <c r="S10" s="30"/>
      <c r="T10" s="30"/>
      <c r="U10" s="31"/>
      <c r="V10" s="31"/>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s="2" customFormat="1" ht="30" customHeight="1" thickBot="1" x14ac:dyDescent="0.35">
      <c r="A11" s="44"/>
      <c r="B11" s="60" t="s">
        <v>17</v>
      </c>
      <c r="C11" s="52"/>
      <c r="D11" s="16">
        <v>0</v>
      </c>
      <c r="E11" s="71"/>
      <c r="F11" s="71"/>
      <c r="G11" s="13"/>
      <c r="H11" s="13" t="str">
        <f t="shared" si="6"/>
        <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s="2" customFormat="1" ht="30" customHeight="1" thickBot="1" x14ac:dyDescent="0.35">
      <c r="A12" s="44"/>
      <c r="B12" s="60" t="s">
        <v>18</v>
      </c>
      <c r="C12" s="52"/>
      <c r="D12" s="16">
        <v>0</v>
      </c>
      <c r="E12" s="71"/>
      <c r="F12" s="71"/>
      <c r="G12" s="13"/>
      <c r="H12" s="13" t="str">
        <f t="shared" si="6"/>
        <v/>
      </c>
      <c r="I12" s="30"/>
      <c r="J12" s="30"/>
      <c r="K12" s="30"/>
      <c r="L12" s="30"/>
      <c r="M12" s="30"/>
      <c r="N12" s="30"/>
      <c r="O12" s="30"/>
      <c r="P12" s="30"/>
      <c r="Q12" s="30"/>
      <c r="R12" s="30"/>
      <c r="S12" s="30"/>
      <c r="T12" s="30"/>
      <c r="U12" s="30"/>
      <c r="V12" s="30"/>
      <c r="W12" s="30"/>
      <c r="X12" s="30"/>
      <c r="Y12" s="31"/>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2" customFormat="1" ht="30" customHeight="1" thickBot="1" x14ac:dyDescent="0.35">
      <c r="A13" s="44"/>
      <c r="B13" s="60" t="s">
        <v>19</v>
      </c>
      <c r="C13" s="52"/>
      <c r="D13" s="16">
        <v>0</v>
      </c>
      <c r="E13" s="71"/>
      <c r="F13" s="71"/>
      <c r="G13" s="13"/>
      <c r="H13" s="13" t="str">
        <f t="shared" si="6"/>
        <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s="2" customFormat="1" ht="30" customHeight="1" thickBot="1" x14ac:dyDescent="0.35">
      <c r="A14" s="45" t="s">
        <v>10</v>
      </c>
      <c r="B14" s="17" t="s">
        <v>46</v>
      </c>
      <c r="C14" s="53"/>
      <c r="D14" s="18"/>
      <c r="E14" s="72"/>
      <c r="F14" s="73"/>
      <c r="G14" s="13"/>
      <c r="H14" s="13" t="str">
        <f t="shared" si="6"/>
        <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s="2" customFormat="1" ht="30" customHeight="1" thickBot="1" x14ac:dyDescent="0.35">
      <c r="A15" s="45"/>
      <c r="B15" s="61" t="s">
        <v>15</v>
      </c>
      <c r="C15" s="54"/>
      <c r="D15" s="19">
        <v>0.5</v>
      </c>
      <c r="E15" s="74"/>
      <c r="F15" s="74"/>
      <c r="G15" s="13"/>
      <c r="H15" s="13" t="str">
        <f t="shared" si="6"/>
        <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s="2" customFormat="1" ht="30" customHeight="1" thickBot="1" x14ac:dyDescent="0.35">
      <c r="A16" s="44"/>
      <c r="B16" s="61" t="s">
        <v>16</v>
      </c>
      <c r="C16" s="54"/>
      <c r="D16" s="19">
        <v>0.5</v>
      </c>
      <c r="E16" s="74"/>
      <c r="F16" s="74"/>
      <c r="G16" s="13"/>
      <c r="H16" s="13" t="str">
        <f t="shared" si="6"/>
        <v/>
      </c>
      <c r="I16" s="30"/>
      <c r="J16" s="30"/>
      <c r="K16" s="30"/>
      <c r="L16" s="30"/>
      <c r="M16" s="30"/>
      <c r="N16" s="30"/>
      <c r="O16" s="30"/>
      <c r="P16" s="30"/>
      <c r="Q16" s="30"/>
      <c r="R16" s="30"/>
      <c r="S16" s="30"/>
      <c r="T16" s="30"/>
      <c r="U16" s="31"/>
      <c r="V16" s="31"/>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s="2" customFormat="1" ht="30" customHeight="1" thickBot="1" x14ac:dyDescent="0.35">
      <c r="A17" s="44"/>
      <c r="B17" s="61" t="s">
        <v>17</v>
      </c>
      <c r="C17" s="54"/>
      <c r="D17" s="19"/>
      <c r="E17" s="74"/>
      <c r="F17" s="74"/>
      <c r="G17" s="13"/>
      <c r="H17" s="13" t="str">
        <f t="shared" si="6"/>
        <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s="2" customFormat="1" ht="30" customHeight="1" thickBot="1" x14ac:dyDescent="0.35">
      <c r="A18" s="44"/>
      <c r="B18" s="61" t="s">
        <v>18</v>
      </c>
      <c r="C18" s="54"/>
      <c r="D18" s="19"/>
      <c r="E18" s="74"/>
      <c r="F18" s="74"/>
      <c r="G18" s="13"/>
      <c r="H18" s="13" t="str">
        <f t="shared" si="6"/>
        <v/>
      </c>
      <c r="I18" s="30"/>
      <c r="J18" s="30"/>
      <c r="K18" s="30"/>
      <c r="L18" s="30"/>
      <c r="M18" s="30"/>
      <c r="N18" s="30"/>
      <c r="O18" s="30"/>
      <c r="P18" s="30"/>
      <c r="Q18" s="30"/>
      <c r="R18" s="30"/>
      <c r="S18" s="30"/>
      <c r="T18" s="30"/>
      <c r="U18" s="30"/>
      <c r="V18" s="30"/>
      <c r="W18" s="30"/>
      <c r="X18" s="30"/>
      <c r="Y18" s="31"/>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2" customFormat="1" ht="30" customHeight="1" thickBot="1" x14ac:dyDescent="0.35">
      <c r="A19" s="44"/>
      <c r="B19" s="61" t="s">
        <v>19</v>
      </c>
      <c r="C19" s="54"/>
      <c r="D19" s="19"/>
      <c r="E19" s="74"/>
      <c r="F19" s="74"/>
      <c r="G19" s="13"/>
      <c r="H19" s="13" t="str">
        <f t="shared" si="6"/>
        <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2" customFormat="1" ht="30" customHeight="1" thickBot="1" x14ac:dyDescent="0.35">
      <c r="A20" s="44" t="s">
        <v>11</v>
      </c>
      <c r="B20" s="20" t="s">
        <v>47</v>
      </c>
      <c r="C20" s="55"/>
      <c r="D20" s="21"/>
      <c r="E20" s="75"/>
      <c r="F20" s="76"/>
      <c r="G20" s="13"/>
      <c r="H20" s="13" t="str">
        <f t="shared" si="6"/>
        <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s="2" customFormat="1" ht="30" customHeight="1" thickBot="1" x14ac:dyDescent="0.35">
      <c r="A21" s="44"/>
      <c r="B21" s="62" t="s">
        <v>15</v>
      </c>
      <c r="C21" s="56"/>
      <c r="D21" s="22"/>
      <c r="E21" s="77"/>
      <c r="F21" s="77"/>
      <c r="G21" s="13"/>
      <c r="H21" s="13" t="str">
        <f t="shared" si="6"/>
        <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s="2" customFormat="1" ht="30" customHeight="1" thickBot="1" x14ac:dyDescent="0.35">
      <c r="A22" s="44"/>
      <c r="B22" s="62" t="s">
        <v>16</v>
      </c>
      <c r="C22" s="56"/>
      <c r="D22" s="22"/>
      <c r="E22" s="77"/>
      <c r="F22" s="77"/>
      <c r="G22" s="13"/>
      <c r="H22" s="13" t="str">
        <f t="shared" si="6"/>
        <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s="2" customFormat="1" ht="30" customHeight="1" thickBot="1" x14ac:dyDescent="0.35">
      <c r="A23" s="44"/>
      <c r="B23" s="62" t="s">
        <v>17</v>
      </c>
      <c r="C23" s="56"/>
      <c r="D23" s="22"/>
      <c r="E23" s="77"/>
      <c r="F23" s="77"/>
      <c r="G23" s="13"/>
      <c r="H23" s="13" t="str">
        <f t="shared" si="6"/>
        <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s="2" customFormat="1" ht="30" customHeight="1" thickBot="1" x14ac:dyDescent="0.35">
      <c r="A24" s="44"/>
      <c r="B24" s="62" t="s">
        <v>18</v>
      </c>
      <c r="C24" s="56"/>
      <c r="D24" s="22"/>
      <c r="E24" s="77"/>
      <c r="F24" s="77"/>
      <c r="G24" s="13"/>
      <c r="H24" s="13" t="str">
        <f t="shared" si="6"/>
        <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s="2" customFormat="1" ht="30" customHeight="1" thickBot="1" x14ac:dyDescent="0.35">
      <c r="A25" s="44"/>
      <c r="B25" s="62" t="s">
        <v>19</v>
      </c>
      <c r="C25" s="56"/>
      <c r="D25" s="22"/>
      <c r="E25" s="77"/>
      <c r="F25" s="77"/>
      <c r="G25" s="13"/>
      <c r="H25" s="13" t="str">
        <f t="shared" si="6"/>
        <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s="2" customFormat="1" ht="30" customHeight="1" thickBot="1" x14ac:dyDescent="0.35">
      <c r="A26" s="44"/>
      <c r="B26" s="23"/>
      <c r="C26" s="57"/>
      <c r="D26" s="24"/>
      <c r="E26" s="78"/>
      <c r="F26" s="79"/>
      <c r="G26" s="13"/>
      <c r="H26" s="13" t="str">
        <f t="shared" si="6"/>
        <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s="2" customFormat="1" ht="30" customHeight="1" thickBot="1" x14ac:dyDescent="0.35">
      <c r="A27" s="44"/>
      <c r="B27" s="63"/>
      <c r="C27" s="58"/>
      <c r="D27" s="25"/>
      <c r="E27" s="80"/>
      <c r="F27" s="80"/>
      <c r="G27" s="13"/>
      <c r="H27" s="13" t="str">
        <f t="shared" si="6"/>
        <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s="2" customFormat="1" ht="30" customHeight="1" thickBot="1" x14ac:dyDescent="0.35">
      <c r="A28" s="44"/>
      <c r="B28" s="63"/>
      <c r="C28" s="58"/>
      <c r="D28" s="25"/>
      <c r="E28" s="80"/>
      <c r="F28" s="80"/>
      <c r="G28" s="13"/>
      <c r="H28" s="13" t="str">
        <f t="shared" si="6"/>
        <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s="2" customFormat="1" ht="30" customHeight="1" thickBot="1" x14ac:dyDescent="0.35">
      <c r="A29" s="44"/>
      <c r="B29" s="63"/>
      <c r="C29" s="58"/>
      <c r="D29" s="25"/>
      <c r="E29" s="80"/>
      <c r="F29" s="80"/>
      <c r="G29" s="13"/>
      <c r="H29" s="13" t="str">
        <f t="shared" si="6"/>
        <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s="2" customFormat="1" ht="30" customHeight="1" thickBot="1" x14ac:dyDescent="0.35">
      <c r="A30" s="44"/>
      <c r="B30" s="63"/>
      <c r="D30" s="25"/>
      <c r="E30" s="80"/>
      <c r="F30" s="80"/>
      <c r="G30" s="13"/>
      <c r="H30" s="13" t="str">
        <f t="shared" si="6"/>
        <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spans="1:64" s="2" customFormat="1" ht="30" customHeight="1" thickBot="1" x14ac:dyDescent="0.35">
      <c r="A31" s="44"/>
      <c r="B31" s="63"/>
      <c r="C31" s="58"/>
      <c r="D31" s="25"/>
      <c r="E31" s="80"/>
      <c r="F31" s="80"/>
      <c r="G31" s="13"/>
      <c r="H31" s="13" t="str">
        <f t="shared" si="6"/>
        <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s="2" customFormat="1" ht="30" customHeight="1" thickBot="1" x14ac:dyDescent="0.35">
      <c r="A32" s="44" t="s">
        <v>12</v>
      </c>
      <c r="B32" s="64"/>
      <c r="C32" s="59"/>
      <c r="D32" s="12"/>
      <c r="E32" s="81"/>
      <c r="F32" s="81"/>
      <c r="G32" s="13"/>
      <c r="H32" s="13" t="str">
        <f t="shared" si="6"/>
        <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s="2" customFormat="1" ht="30" customHeight="1" thickBot="1" x14ac:dyDescent="0.35">
      <c r="A33" s="45" t="s">
        <v>13</v>
      </c>
      <c r="B33" s="26" t="s">
        <v>20</v>
      </c>
      <c r="C33" s="27"/>
      <c r="D33" s="28"/>
      <c r="E33" s="82"/>
      <c r="F33" s="83"/>
      <c r="G33" s="29"/>
      <c r="H33" s="29" t="str">
        <f t="shared" si="6"/>
        <v/>
      </c>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row>
    <row r="34" spans="1:64" ht="30" customHeight="1" x14ac:dyDescent="0.3">
      <c r="G34" s="5"/>
    </row>
    <row r="35" spans="1:64" ht="30" customHeight="1" x14ac:dyDescent="0.3">
      <c r="C35" s="10"/>
      <c r="F35" s="46"/>
    </row>
    <row r="36" spans="1:64" ht="30" customHeight="1" x14ac:dyDescent="0.3">
      <c r="C36" s="11"/>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87.109375" style="34" customWidth="1"/>
    <col min="2" max="16384" width="9.109375" style="1"/>
  </cols>
  <sheetData>
    <row r="1" spans="1:2" ht="46.5" customHeight="1" x14ac:dyDescent="0.3"/>
    <row r="2" spans="1:2" s="36" customFormat="1" ht="15.6" x14ac:dyDescent="0.3">
      <c r="A2" s="35" t="s">
        <v>28</v>
      </c>
      <c r="B2" s="35"/>
    </row>
    <row r="3" spans="1:2" s="40" customFormat="1" ht="27" customHeight="1" x14ac:dyDescent="0.3">
      <c r="A3" s="68" t="s">
        <v>29</v>
      </c>
      <c r="B3" s="41"/>
    </row>
    <row r="4" spans="1:2" s="37" customFormat="1" ht="25.8" x14ac:dyDescent="0.5">
      <c r="A4" s="38" t="s">
        <v>30</v>
      </c>
    </row>
    <row r="5" spans="1:2" ht="74.099999999999994" customHeight="1" x14ac:dyDescent="0.3">
      <c r="A5" s="39" t="s">
        <v>31</v>
      </c>
    </row>
    <row r="6" spans="1:2" ht="26.25" customHeight="1" x14ac:dyDescent="0.3">
      <c r="A6" s="38" t="s">
        <v>32</v>
      </c>
    </row>
    <row r="7" spans="1:2" s="34" customFormat="1" ht="204.9" customHeight="1" x14ac:dyDescent="0.3">
      <c r="A7" s="43" t="s">
        <v>33</v>
      </c>
    </row>
    <row r="8" spans="1:2" s="37" customFormat="1" ht="25.8" x14ac:dyDescent="0.5">
      <c r="A8" s="38" t="s">
        <v>34</v>
      </c>
    </row>
    <row r="9" spans="1:2" ht="57.6" x14ac:dyDescent="0.3">
      <c r="A9" s="39" t="s">
        <v>35</v>
      </c>
    </row>
    <row r="10" spans="1:2" s="34" customFormat="1" ht="27.9" customHeight="1" x14ac:dyDescent="0.3">
      <c r="A10" s="42" t="s">
        <v>36</v>
      </c>
    </row>
    <row r="11" spans="1:2" s="37" customFormat="1" ht="25.8" x14ac:dyDescent="0.5">
      <c r="A11" s="38" t="s">
        <v>37</v>
      </c>
    </row>
    <row r="12" spans="1:2" ht="28.8" x14ac:dyDescent="0.3">
      <c r="A12" s="39" t="s">
        <v>38</v>
      </c>
    </row>
    <row r="13" spans="1:2" s="34" customFormat="1" ht="27.9" customHeight="1" x14ac:dyDescent="0.3">
      <c r="A13" s="42" t="s">
        <v>39</v>
      </c>
    </row>
    <row r="14" spans="1:2" s="37" customFormat="1" ht="25.8" x14ac:dyDescent="0.5">
      <c r="A14" s="38" t="s">
        <v>40</v>
      </c>
    </row>
    <row r="15" spans="1:2" ht="75" customHeight="1" x14ac:dyDescent="0.3">
      <c r="A15" s="39" t="s">
        <v>41</v>
      </c>
    </row>
    <row r="16" spans="1:2" ht="72" x14ac:dyDescent="0.3">
      <c r="A16" s="39" t="s">
        <v>42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2025-11-24T11:07:26Z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